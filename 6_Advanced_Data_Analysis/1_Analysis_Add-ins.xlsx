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Mac\Desktop\EXCEL COURSE\Excel_Data_Analytics_Course\6_Advanced_Data_Analysis\"/>
    </mc:Choice>
  </mc:AlternateContent>
  <xr:revisionPtr revIDLastSave="0" documentId="13_ncr:1_{B1E2A4E4-2A8A-4EF5-BB05-B5299E668447}" xr6:coauthVersionLast="47" xr6:coauthVersionMax="47" xr10:uidLastSave="{00000000-0000-0000-0000-000000000000}"/>
  <bookViews>
    <workbookView xWindow="-120" yWindow="-120" windowWidth="22920" windowHeight="13110" firstSheet="3" activeTab="7" xr2:uid="{6C37AC85-509F-4D10-9DB1-F70D16D6FBAB}"/>
  </bookViews>
  <sheets>
    <sheet name="Sheet2" sheetId="17" r:id="rId1"/>
    <sheet name="Forecast_Original" sheetId="7" r:id="rId2"/>
    <sheet name="Forecast_Final" sheetId="8" state="hidden" r:id="rId3"/>
    <sheet name="Scenario Summary" sheetId="18" r:id="rId4"/>
    <sheet name="Answer Report 1" sheetId="19" r:id="rId5"/>
    <sheet name="Sensitivity Report 1" sheetId="20" r:id="rId6"/>
    <sheet name="Limits Report 1" sheetId="21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'What-If_Analysis'!$F$13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2" i="3"/>
  <c r="C13" i="3"/>
  <c r="C11" i="3"/>
  <c r="C10" i="3"/>
  <c r="C9" i="3"/>
  <c r="C367" i="17"/>
  <c r="C371" i="17"/>
  <c r="C375" i="17"/>
  <c r="C379" i="17"/>
  <c r="C383" i="17"/>
  <c r="C387" i="17"/>
  <c r="C391" i="17"/>
  <c r="C395" i="17"/>
  <c r="C399" i="17"/>
  <c r="C403" i="17"/>
  <c r="C407" i="17"/>
  <c r="C411" i="17"/>
  <c r="C415" i="17"/>
  <c r="C419" i="17"/>
  <c r="C423" i="17"/>
  <c r="C427" i="17"/>
  <c r="C368" i="17"/>
  <c r="C372" i="17"/>
  <c r="C376" i="17"/>
  <c r="C380" i="17"/>
  <c r="C384" i="17"/>
  <c r="C388" i="17"/>
  <c r="C392" i="17"/>
  <c r="C396" i="17"/>
  <c r="C400" i="17"/>
  <c r="C404" i="17"/>
  <c r="C408" i="17"/>
  <c r="C412" i="17"/>
  <c r="C416" i="17"/>
  <c r="C420" i="17"/>
  <c r="C424" i="17"/>
  <c r="C370" i="17"/>
  <c r="C378" i="17"/>
  <c r="C382" i="17"/>
  <c r="C386" i="17"/>
  <c r="C394" i="17"/>
  <c r="C402" i="17"/>
  <c r="C406" i="17"/>
  <c r="C410" i="17"/>
  <c r="C418" i="17"/>
  <c r="C426" i="17"/>
  <c r="C369" i="17"/>
  <c r="C373" i="17"/>
  <c r="C377" i="17"/>
  <c r="C381" i="17"/>
  <c r="C385" i="17"/>
  <c r="C389" i="17"/>
  <c r="C393" i="17"/>
  <c r="C397" i="17"/>
  <c r="C401" i="17"/>
  <c r="C405" i="17"/>
  <c r="C409" i="17"/>
  <c r="C413" i="17"/>
  <c r="C417" i="17"/>
  <c r="C421" i="17"/>
  <c r="C425" i="17"/>
  <c r="C374" i="17"/>
  <c r="C390" i="17"/>
  <c r="C398" i="17"/>
  <c r="C414" i="17"/>
  <c r="C422" i="17"/>
  <c r="E422" i="17" l="1"/>
  <c r="D398" i="17"/>
  <c r="D374" i="17"/>
  <c r="D421" i="17"/>
  <c r="D413" i="17"/>
  <c r="E405" i="17"/>
  <c r="E397" i="17"/>
  <c r="D389" i="17"/>
  <c r="E381" i="17"/>
  <c r="E373" i="17"/>
  <c r="D426" i="17"/>
  <c r="D410" i="17"/>
  <c r="D402" i="17"/>
  <c r="D386" i="17"/>
  <c r="D378" i="17"/>
  <c r="E424" i="17"/>
  <c r="D416" i="17"/>
  <c r="D408" i="17"/>
  <c r="D400" i="17"/>
  <c r="E392" i="17"/>
  <c r="E384" i="17"/>
  <c r="E376" i="17"/>
  <c r="E368" i="17"/>
  <c r="D423" i="17"/>
  <c r="D415" i="17"/>
  <c r="D407" i="17"/>
  <c r="D399" i="17"/>
  <c r="D391" i="17"/>
  <c r="D383" i="17"/>
  <c r="D375" i="17"/>
  <c r="D367" i="17"/>
  <c r="D422" i="17"/>
  <c r="E398" i="17"/>
  <c r="E374" i="17"/>
  <c r="E421" i="17"/>
  <c r="E413" i="17"/>
  <c r="D405" i="17"/>
  <c r="D397" i="17"/>
  <c r="E389" i="17"/>
  <c r="D381" i="17"/>
  <c r="D373" i="17"/>
  <c r="E426" i="17"/>
  <c r="E410" i="17"/>
  <c r="E402" i="17"/>
  <c r="E386" i="17"/>
  <c r="E378" i="17"/>
  <c r="D424" i="17"/>
  <c r="E416" i="17"/>
  <c r="E408" i="17"/>
  <c r="E400" i="17"/>
  <c r="D392" i="17"/>
  <c r="D384" i="17"/>
  <c r="D376" i="17"/>
  <c r="D368" i="17"/>
  <c r="E423" i="17"/>
  <c r="E415" i="17"/>
  <c r="E407" i="17"/>
  <c r="E399" i="17"/>
  <c r="E391" i="17"/>
  <c r="E383" i="17"/>
  <c r="E375" i="17"/>
  <c r="E367" i="17"/>
  <c r="E379" i="17"/>
  <c r="D414" i="17"/>
  <c r="D390" i="17"/>
  <c r="E425" i="17"/>
  <c r="E417" i="17"/>
  <c r="E409" i="17"/>
  <c r="E401" i="17"/>
  <c r="E393" i="17"/>
  <c r="E385" i="17"/>
  <c r="D377" i="17"/>
  <c r="E369" i="17"/>
  <c r="E418" i="17"/>
  <c r="D406" i="17"/>
  <c r="D394" i="17"/>
  <c r="D382" i="17"/>
  <c r="D370" i="17"/>
  <c r="E420" i="17"/>
  <c r="E412" i="17"/>
  <c r="E404" i="17"/>
  <c r="E396" i="17"/>
  <c r="D388" i="17"/>
  <c r="D380" i="17"/>
  <c r="D372" i="17"/>
  <c r="D427" i="17"/>
  <c r="D419" i="17"/>
  <c r="D411" i="17"/>
  <c r="D403" i="17"/>
  <c r="D395" i="17"/>
  <c r="D387" i="17"/>
  <c r="D379" i="17"/>
  <c r="D371" i="17"/>
  <c r="E414" i="17"/>
  <c r="E390" i="17"/>
  <c r="D425" i="17"/>
  <c r="D417" i="17"/>
  <c r="D409" i="17"/>
  <c r="D401" i="17"/>
  <c r="D393" i="17"/>
  <c r="D385" i="17"/>
  <c r="E377" i="17"/>
  <c r="D369" i="17"/>
  <c r="D418" i="17"/>
  <c r="E406" i="17"/>
  <c r="E394" i="17"/>
  <c r="E382" i="17"/>
  <c r="E370" i="17"/>
  <c r="D420" i="17"/>
  <c r="D412" i="17"/>
  <c r="D404" i="17"/>
  <c r="D396" i="17"/>
  <c r="E388" i="17"/>
  <c r="E380" i="17"/>
  <c r="E372" i="17"/>
  <c r="E427" i="17"/>
  <c r="E419" i="17"/>
  <c r="E411" i="17"/>
  <c r="E403" i="17"/>
  <c r="E395" i="17"/>
  <c r="E387" i="17"/>
  <c r="E371" i="17"/>
  <c r="F6" i="3" l="1"/>
  <c r="C368" i="8"/>
  <c r="C372" i="8"/>
  <c r="C376" i="8"/>
  <c r="C380" i="8"/>
  <c r="C384" i="8"/>
  <c r="C388" i="8"/>
  <c r="C392" i="8"/>
  <c r="C396" i="8"/>
  <c r="C400" i="8"/>
  <c r="C404" i="8"/>
  <c r="C408" i="8"/>
  <c r="C412" i="8"/>
  <c r="C416" i="8"/>
  <c r="C420" i="8"/>
  <c r="C424" i="8"/>
  <c r="C428" i="8"/>
  <c r="C432" i="8"/>
  <c r="C436" i="8"/>
  <c r="C440" i="8"/>
  <c r="C444" i="8"/>
  <c r="C448" i="8"/>
  <c r="C452" i="8"/>
  <c r="C456" i="8"/>
  <c r="C437" i="8"/>
  <c r="C445" i="8"/>
  <c r="C453" i="8"/>
  <c r="C457" i="8"/>
  <c r="C370" i="8"/>
  <c r="C390" i="8"/>
  <c r="C398" i="8"/>
  <c r="C402" i="8"/>
  <c r="C414" i="8"/>
  <c r="C422" i="8"/>
  <c r="C430" i="8"/>
  <c r="C438" i="8"/>
  <c r="C446" i="8"/>
  <c r="C454" i="8"/>
  <c r="C367" i="8"/>
  <c r="C375" i="8"/>
  <c r="C379" i="8"/>
  <c r="C383" i="8"/>
  <c r="C387" i="8"/>
  <c r="C395" i="8"/>
  <c r="C403" i="8"/>
  <c r="C415" i="8"/>
  <c r="C427" i="8"/>
  <c r="C439" i="8"/>
  <c r="C451" i="8"/>
  <c r="C369" i="8"/>
  <c r="C373" i="8"/>
  <c r="C377" i="8"/>
  <c r="C381" i="8"/>
  <c r="C385" i="8"/>
  <c r="C389" i="8"/>
  <c r="C393" i="8"/>
  <c r="C397" i="8"/>
  <c r="C401" i="8"/>
  <c r="C405" i="8"/>
  <c r="C409" i="8"/>
  <c r="C413" i="8"/>
  <c r="C417" i="8"/>
  <c r="C421" i="8"/>
  <c r="C425" i="8"/>
  <c r="C429" i="8"/>
  <c r="C433" i="8"/>
  <c r="C441" i="8"/>
  <c r="C449" i="8"/>
  <c r="C374" i="8"/>
  <c r="C378" i="8"/>
  <c r="C382" i="8"/>
  <c r="C386" i="8"/>
  <c r="C406" i="8"/>
  <c r="C410" i="8"/>
  <c r="C418" i="8"/>
  <c r="C426" i="8"/>
  <c r="C434" i="8"/>
  <c r="C442" i="8"/>
  <c r="C450" i="8"/>
  <c r="C458" i="8"/>
  <c r="C371" i="8"/>
  <c r="C399" i="8"/>
  <c r="C411" i="8"/>
  <c r="C423" i="8"/>
  <c r="C435" i="8"/>
  <c r="C447" i="8"/>
  <c r="C394" i="8"/>
  <c r="C391" i="8"/>
  <c r="C407" i="8"/>
  <c r="C419" i="8"/>
  <c r="C431" i="8"/>
  <c r="C443" i="8"/>
  <c r="C455" i="8"/>
  <c r="D367" i="8" l="1"/>
  <c r="E369" i="8"/>
  <c r="E371" i="8"/>
  <c r="D373" i="8"/>
  <c r="D375" i="8"/>
  <c r="D377" i="8"/>
  <c r="D379" i="8"/>
  <c r="D381" i="8"/>
  <c r="E383" i="8"/>
  <c r="D385" i="8"/>
  <c r="D387" i="8"/>
  <c r="D389" i="8"/>
  <c r="D391" i="8"/>
  <c r="E393" i="8"/>
  <c r="E395" i="8"/>
  <c r="E397" i="8"/>
  <c r="E399" i="8"/>
  <c r="E401" i="8"/>
  <c r="E403" i="8"/>
  <c r="E405" i="8"/>
  <c r="E407" i="8"/>
  <c r="D409" i="8"/>
  <c r="D411" i="8"/>
  <c r="D413" i="8"/>
  <c r="D415" i="8"/>
  <c r="D417" i="8"/>
  <c r="D419" i="8"/>
  <c r="E421" i="8"/>
  <c r="D423" i="8"/>
  <c r="E425" i="8"/>
  <c r="D427" i="8"/>
  <c r="D429" i="8"/>
  <c r="D431" i="8"/>
  <c r="D433" i="8"/>
  <c r="E435" i="8"/>
  <c r="D437" i="8"/>
  <c r="E439" i="8"/>
  <c r="D441" i="8"/>
  <c r="D443" i="8"/>
  <c r="D445" i="8"/>
  <c r="E447" i="8"/>
  <c r="E449" i="8"/>
  <c r="E451" i="8"/>
  <c r="E453" i="8"/>
  <c r="D455" i="8"/>
  <c r="E457" i="8"/>
  <c r="E367" i="8"/>
  <c r="D369" i="8"/>
  <c r="D371" i="8"/>
  <c r="E373" i="8"/>
  <c r="E375" i="8"/>
  <c r="E377" i="8"/>
  <c r="E379" i="8"/>
  <c r="E381" i="8"/>
  <c r="D383" i="8"/>
  <c r="E385" i="8"/>
  <c r="E387" i="8"/>
  <c r="E389" i="8"/>
  <c r="E391" i="8"/>
  <c r="D393" i="8"/>
  <c r="D395" i="8"/>
  <c r="D397" i="8"/>
  <c r="D399" i="8"/>
  <c r="D401" i="8"/>
  <c r="D403" i="8"/>
  <c r="D405" i="8"/>
  <c r="D407" i="8"/>
  <c r="E409" i="8"/>
  <c r="E411" i="8"/>
  <c r="E413" i="8"/>
  <c r="E415" i="8"/>
  <c r="E417" i="8"/>
  <c r="E419" i="8"/>
  <c r="D421" i="8"/>
  <c r="E423" i="8"/>
  <c r="D425" i="8"/>
  <c r="E427" i="8"/>
  <c r="E429" i="8"/>
  <c r="E431" i="8"/>
  <c r="E433" i="8"/>
  <c r="D435" i="8"/>
  <c r="E437" i="8"/>
  <c r="D439" i="8"/>
  <c r="E441" i="8"/>
  <c r="E443" i="8"/>
  <c r="E445" i="8"/>
  <c r="D447" i="8"/>
  <c r="D449" i="8"/>
  <c r="D451" i="8"/>
  <c r="D453" i="8"/>
  <c r="E455" i="8"/>
  <c r="D457" i="8"/>
  <c r="D368" i="8"/>
  <c r="E370" i="8"/>
  <c r="E372" i="8"/>
  <c r="D374" i="8"/>
  <c r="D376" i="8"/>
  <c r="D378" i="8"/>
  <c r="E380" i="8"/>
  <c r="E382" i="8"/>
  <c r="D384" i="8"/>
  <c r="D386" i="8"/>
  <c r="D388" i="8"/>
  <c r="D390" i="8"/>
  <c r="E392" i="8"/>
  <c r="E394" i="8"/>
  <c r="D396" i="8"/>
  <c r="D398" i="8"/>
  <c r="E400" i="8"/>
  <c r="E402" i="8"/>
  <c r="E404" i="8"/>
  <c r="E406" i="8"/>
  <c r="E408" i="8"/>
  <c r="D410" i="8"/>
  <c r="D412" i="8"/>
  <c r="D414" i="8"/>
  <c r="D416" i="8"/>
  <c r="D418" i="8"/>
  <c r="D420" i="8"/>
  <c r="E422" i="8"/>
  <c r="E424" i="8"/>
  <c r="E426" i="8"/>
  <c r="D428" i="8"/>
  <c r="D430" i="8"/>
  <c r="D432" i="8"/>
  <c r="E434" i="8"/>
  <c r="E436" i="8"/>
  <c r="E438" i="8"/>
  <c r="E440" i="8"/>
  <c r="D442" i="8"/>
  <c r="D444" i="8"/>
  <c r="D446" i="8"/>
  <c r="E448" i="8"/>
  <c r="E450" i="8"/>
  <c r="D452" i="8"/>
  <c r="D454" i="8"/>
  <c r="E456" i="8"/>
  <c r="E458" i="8"/>
  <c r="E368" i="8"/>
  <c r="D370" i="8"/>
  <c r="D372" i="8"/>
  <c r="E374" i="8"/>
  <c r="E376" i="8"/>
  <c r="E378" i="8"/>
  <c r="D380" i="8"/>
  <c r="D382" i="8"/>
  <c r="E384" i="8"/>
  <c r="E386" i="8"/>
  <c r="E388" i="8"/>
  <c r="E390" i="8"/>
  <c r="D392" i="8"/>
  <c r="D394" i="8"/>
  <c r="E396" i="8"/>
  <c r="E398" i="8"/>
  <c r="D400" i="8"/>
  <c r="D402" i="8"/>
  <c r="D404" i="8"/>
  <c r="D406" i="8"/>
  <c r="D408" i="8"/>
  <c r="E410" i="8"/>
  <c r="E412" i="8"/>
  <c r="E414" i="8"/>
  <c r="E416" i="8"/>
  <c r="E418" i="8"/>
  <c r="E420" i="8"/>
  <c r="D422" i="8"/>
  <c r="D424" i="8"/>
  <c r="D426" i="8"/>
  <c r="E428" i="8"/>
  <c r="E430" i="8"/>
  <c r="E432" i="8"/>
  <c r="D434" i="8"/>
  <c r="D436" i="8"/>
  <c r="D438" i="8"/>
  <c r="D440" i="8"/>
  <c r="E442" i="8"/>
  <c r="E444" i="8"/>
  <c r="E446" i="8"/>
  <c r="D448" i="8"/>
  <c r="D450" i="8"/>
  <c r="E452" i="8"/>
  <c r="E454" i="8"/>
  <c r="D456" i="8"/>
  <c r="D458" i="8"/>
</calcChain>
</file>

<file path=xl/sharedStrings.xml><?xml version="1.0" encoding="utf-8"?>
<sst xmlns="http://schemas.openxmlformats.org/spreadsheetml/2006/main" count="237" uniqueCount="89">
  <si>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</si>
  <si>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</si>
  <si>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</si>
  <si>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</si>
  <si>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</si>
  <si>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</si>
  <si>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</si>
  <si>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</si>
  <si>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</si>
  <si>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</si>
  <si>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</si>
  <si>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</si>
  <si>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</si>
  <si>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</si>
  <si>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</si>
  <si>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</si>
  <si>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</si>
  <si>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</si>
  <si>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</si>
  <si>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</si>
  <si>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</si>
  <si>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</si>
  <si>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</si>
  <si>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</si>
  <si>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</si>
  <si>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</si>
  <si>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</si>
  <si>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</si>
  <si>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</si>
  <si>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</si>
  <si>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</si>
  <si>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</si>
  <si>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</si>
  <si>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</si>
  <si>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</si>
  <si>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</si>
  <si>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</si>
  <si>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</si>
  <si>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</si>
  <si>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</si>
  <si>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</si>
  <si>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</si>
  <si>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</si>
  <si>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</si>
  <si>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</si>
  <si>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</si>
  <si>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</si>
  <si>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</si>
  <si>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</si>
  <si>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</si>
  <si>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</si>
  <si>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</si>
  <si>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</si>
  <si>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</si>
  <si>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</si>
  <si>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</si>
  <si>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</si>
  <si>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</si>
  <si>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</si>
  <si>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</si>
  <si>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</si>
  <si>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</si>
  <si>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</si>
  <si>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</si>
  <si>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</si>
  <si>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</si>
  <si>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</si>
  <si>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</si>
  <si>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</si>
  <si>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</si>
  <si>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</si>
  <si>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</si>
  <si>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</si>
  <si>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</si>
  <si>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</si>
  <si>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</si>
  <si>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</si>
  <si>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</si>
  <si>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samlathrop on 4/14/2026</t>
  </si>
  <si>
    <t>Report Created: 4/14/2026 7:19:15 PM</t>
  </si>
  <si>
    <t>Solution Time: 0.266 Seconds.</t>
  </si>
  <si>
    <t>Iterations: 2 Subproblems: 0</t>
  </si>
  <si>
    <t>Microsoft Excel 16.0 Sensitivity Report</t>
  </si>
  <si>
    <t>Report Created: 4/14/2026 7:19:16 PM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</si>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</sst>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5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0" xfId="2" applyNumberFormat="1" applyBorder="1"/>
    <xf numFmtId="9" fontId="4" fillId="2" borderId="20" xfId="2" applyNumberFormat="1" applyBorder="1"/>
    <xf numFmtId="165" fontId="4" fillId="2" borderId="21" xfId="2" applyNumberFormat="1" applyBorder="1"/>
    <xf numFmtId="0" fontId="0" fillId="0" borderId="25" xfId="0" applyBorder="1"/>
    <xf numFmtId="0" fontId="7" fillId="0" borderId="24" xfId="0" applyFont="1" applyBorder="1" applyAlignment="1">
      <alignment horizontal="center"/>
    </xf>
    <xf numFmtId="0" fontId="0" fillId="0" borderId="26" xfId="0" applyBorder="1"/>
    <xf numFmtId="164" fontId="0" fillId="0" borderId="25" xfId="0" applyNumberFormat="1" applyBorder="1"/>
    <xf numFmtId="9" fontId="0" fillId="0" borderId="26" xfId="0" applyNumberFormat="1" applyBorder="1"/>
    <xf numFmtId="165" fontId="0" fillId="0" borderId="25" xfId="0" applyNumberFormat="1" applyBorder="1"/>
    <xf numFmtId="164" fontId="0" fillId="0" borderId="26" xfId="0" applyNumberFormat="1" applyBorder="1"/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0" fillId="0" borderId="27" xfId="0" applyBorder="1" applyAlignment="1">
      <alignment vertical="center" wrapText="1"/>
    </xf>
    <xf numFmtId="3" fontId="0" fillId="0" borderId="28" xfId="0" applyNumberFormat="1" applyBorder="1" applyAlignment="1">
      <alignment vertical="center" wrapText="1"/>
    </xf>
    <xf numFmtId="9" fontId="0" fillId="0" borderId="28" xfId="0" applyNumberFormat="1" applyBorder="1" applyAlignment="1">
      <alignment vertical="center" wrapText="1"/>
    </xf>
    <xf numFmtId="165" fontId="0" fillId="0" borderId="29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0" xfId="0" applyFont="1" applyBorder="1"/>
    <xf numFmtId="9" fontId="10" fillId="0" borderId="30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5" xfId="0" applyFill="1" applyBorder="1" applyAlignment="1"/>
    <xf numFmtId="0" fontId="7" fillId="0" borderId="24" xfId="0" applyFont="1" applyFill="1" applyBorder="1" applyAlignment="1">
      <alignment horizontal="center"/>
    </xf>
    <xf numFmtId="0" fontId="0" fillId="0" borderId="26" xfId="0" applyFill="1" applyBorder="1" applyAlignment="1"/>
    <xf numFmtId="164" fontId="0" fillId="0" borderId="25" xfId="0" applyNumberFormat="1" applyFill="1" applyBorder="1" applyAlignment="1"/>
    <xf numFmtId="9" fontId="0" fillId="0" borderId="26" xfId="0" applyNumberFormat="1" applyFill="1" applyBorder="1" applyAlignment="1"/>
    <xf numFmtId="165" fontId="0" fillId="0" borderId="25" xfId="0" applyNumberFormat="1" applyFill="1" applyBorder="1" applyAlignment="1"/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7" fontId="0" fillId="0" borderId="25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8-4691-A27B-6FB01A82953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38-4691-A27B-6FB01A82953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38-4691-A27B-6FB01A82953F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38-4691-A27B-6FB01A829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657135"/>
        <c:axId val="689662415"/>
      </c:lineChart>
      <c:catAx>
        <c:axId val="68965713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62415"/>
        <c:crosses val="autoZero"/>
        <c:auto val="1"/>
        <c:lblAlgn val="ctr"/>
        <c:lblOffset val="100"/>
        <c:noMultiLvlLbl val="0"/>
      </c:catAx>
      <c:valAx>
        <c:axId val="6896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5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103512</xdr:colOff>
      <xdr:row>0</xdr:row>
      <xdr:rowOff>118832</xdr:rowOff>
    </xdr:from>
    <xdr:to>
      <xdr:col>15</xdr:col>
      <xdr:colOff>148727</xdr:colOff>
      <xdr:row>16</xdr:row>
      <xdr:rowOff>4532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93B13-DD59-6F40-1495-52B74B7D0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AED77B-A893-49A9-8738-AAE8EE652125}" name="Table3" displayName="Table3" ref="A1:E427" totalsRowShown="0">
  <autoFilter ref="A1:E427" xr:uid="{FFAED77B-A893-49A9-8738-AAE8EE652125}"/>
  <tableColumns count="5">
    <tableColumn id="1" xr3:uid="{6F3E1E8D-27A1-4608-BD31-B281BDEB7A73}" name="Date" dataDxfId="2"/>
    <tableColumn id="2" xr3:uid="{2BAB5CF2-3AD3-4C38-8E79-156AE5D1FB38}" name="Job Count"/>
    <tableColumn id="3" xr3:uid="{1E997C78-9FE1-48C6-AC51-CEA61D1A8833}" name="Forecast(Job Count)">
      <calculatedColumnFormula>_xlfn.FORECAST.ETS(A2,$B$2:$B$366,$A$2:$A$366,1,1)</calculatedColumnFormula>
    </tableColumn>
    <tableColumn id="4" xr3:uid="{F7DD40FE-7A77-4BAF-948C-64AD1E3B2DA1}" name="Lower Confidence Bound(Job Count)" dataDxfId="1">
      <calculatedColumnFormula>C2-_xlfn.FORECAST.ETS.CONFINT(A2,$B$2:$B$366,$A$2:$A$366,0.95,1,1)</calculatedColumnFormula>
    </tableColumn>
    <tableColumn id="5" xr3:uid="{0E1C5D14-CCCF-426C-9E63-E982671C0AB1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999A-BE56-4872-9BBA-43350AF56943}">
  <dimension ref="A1:E427"/>
  <sheetViews>
    <sheetView zoomScale="83" workbookViewId="0"/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F28" sqref="F28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D58" sqref="D58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4B10-F77B-48F3-899D-C8AE213AB546}">
  <sheetPr>
    <outlinePr summaryBelow="0"/>
  </sheetPr>
  <dimension ref="B1:G18"/>
  <sheetViews>
    <sheetView showGridLines="0" topLeftCell="C1" workbookViewId="0">
      <selection activeCell="E8" sqref="E8"/>
    </sheetView>
  </sheetViews>
  <sheetFormatPr defaultRowHeight="15" outlineLevelRow="1" outlineLevelCol="1" x14ac:dyDescent="0.25"/>
  <cols>
    <col min="3" max="3" width="10.85546875" bestFit="1" customWidth="1"/>
    <col min="4" max="7" width="12.42578125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33.75" hidden="1" outlineLevel="1" x14ac:dyDescent="0.25">
      <c r="B4" s="71"/>
      <c r="C4" s="71"/>
      <c r="D4" s="65"/>
      <c r="E4" s="75" t="s">
        <v>78</v>
      </c>
      <c r="F4" s="75" t="s">
        <v>78</v>
      </c>
      <c r="G4" s="75" t="s">
        <v>78</v>
      </c>
    </row>
    <row r="5" spans="2:7" x14ac:dyDescent="0.25">
      <c r="B5" s="25" t="s">
        <v>23</v>
      </c>
      <c r="C5" s="25"/>
      <c r="D5" s="70"/>
      <c r="E5" s="70"/>
      <c r="F5" s="70"/>
      <c r="G5" s="70"/>
    </row>
    <row r="6" spans="2:7" outlineLevel="1" x14ac:dyDescent="0.25">
      <c r="B6" s="71"/>
      <c r="C6" s="71" t="s">
        <v>14</v>
      </c>
      <c r="D6" s="66">
        <v>100000</v>
      </c>
      <c r="E6" s="72">
        <v>100000</v>
      </c>
      <c r="F6" s="72">
        <v>80000</v>
      </c>
      <c r="G6" s="72">
        <v>120000</v>
      </c>
    </row>
    <row r="7" spans="2:7" outlineLevel="1" x14ac:dyDescent="0.25">
      <c r="B7" s="71"/>
      <c r="C7" s="71" t="s">
        <v>15</v>
      </c>
      <c r="D7" s="67">
        <v>0.1</v>
      </c>
      <c r="E7" s="73">
        <v>0.1</v>
      </c>
      <c r="F7" s="73">
        <v>0.15</v>
      </c>
      <c r="G7" s="73">
        <v>0.05</v>
      </c>
    </row>
    <row r="8" spans="2:7" outlineLevel="1" x14ac:dyDescent="0.25">
      <c r="B8" s="71"/>
      <c r="C8" s="71" t="s">
        <v>16</v>
      </c>
      <c r="D8" s="68">
        <v>1.4999999999999999E-2</v>
      </c>
      <c r="E8" s="74">
        <v>1.4999999999999999E-2</v>
      </c>
      <c r="F8" s="74">
        <v>1.2E-2</v>
      </c>
      <c r="G8" s="74">
        <v>8.0000000000000002E-3</v>
      </c>
    </row>
    <row r="9" spans="2:7" x14ac:dyDescent="0.25">
      <c r="B9" s="25" t="s">
        <v>25</v>
      </c>
      <c r="C9" s="25"/>
      <c r="D9" s="70"/>
      <c r="E9" s="70"/>
      <c r="F9" s="70"/>
      <c r="G9" s="70"/>
    </row>
    <row r="10" spans="2:7" outlineLevel="1" x14ac:dyDescent="0.25">
      <c r="B10" s="71"/>
      <c r="C10" s="71" t="s">
        <v>31</v>
      </c>
      <c r="D10" s="66">
        <v>110000</v>
      </c>
      <c r="E10" s="66">
        <v>110000</v>
      </c>
      <c r="F10" s="66">
        <v>92000</v>
      </c>
      <c r="G10" s="66">
        <v>126000</v>
      </c>
    </row>
    <row r="11" spans="2:7" outlineLevel="1" x14ac:dyDescent="0.25">
      <c r="B11" s="71"/>
      <c r="C11" s="71" t="s">
        <v>36</v>
      </c>
      <c r="D11" s="66">
        <v>111650</v>
      </c>
      <c r="E11" s="66">
        <v>111650</v>
      </c>
      <c r="F11" s="66">
        <v>93104</v>
      </c>
      <c r="G11" s="66">
        <v>127008</v>
      </c>
    </row>
    <row r="12" spans="2:7" outlineLevel="1" x14ac:dyDescent="0.25">
      <c r="B12" s="71"/>
      <c r="C12" s="71" t="s">
        <v>32</v>
      </c>
      <c r="D12" s="66">
        <v>113324.75</v>
      </c>
      <c r="E12" s="66">
        <v>113324.75</v>
      </c>
      <c r="F12" s="66">
        <v>94221.248000000007</v>
      </c>
      <c r="G12" s="66">
        <v>128024.064</v>
      </c>
    </row>
    <row r="13" spans="2:7" outlineLevel="1" x14ac:dyDescent="0.25">
      <c r="B13" s="71"/>
      <c r="C13" s="71" t="s">
        <v>33</v>
      </c>
      <c r="D13" s="66">
        <v>115024.62125</v>
      </c>
      <c r="E13" s="66">
        <v>115024.62125</v>
      </c>
      <c r="F13" s="66">
        <v>95351.902975999998</v>
      </c>
      <c r="G13" s="66">
        <v>129048.25651200001</v>
      </c>
    </row>
    <row r="14" spans="2:7" outlineLevel="1" x14ac:dyDescent="0.25">
      <c r="B14" s="71"/>
      <c r="C14" s="71" t="s">
        <v>34</v>
      </c>
      <c r="D14" s="66">
        <v>116749.99056875</v>
      </c>
      <c r="E14" s="66">
        <v>116749.99056875</v>
      </c>
      <c r="F14" s="66">
        <v>96496.125811712001</v>
      </c>
      <c r="G14" s="66">
        <v>130080.64256409599</v>
      </c>
    </row>
    <row r="15" spans="2:7" ht="15.75" outlineLevel="1" thickBot="1" x14ac:dyDescent="0.3">
      <c r="B15" s="26"/>
      <c r="C15" s="26" t="s">
        <v>35</v>
      </c>
      <c r="D15" s="69">
        <v>566749.36181875004</v>
      </c>
      <c r="E15" s="69">
        <v>566749.36181875004</v>
      </c>
      <c r="F15" s="69">
        <v>471173.27678771201</v>
      </c>
      <c r="G15" s="69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BD88-2F08-4AAB-A563-4AA25464A9AC}">
  <dimension ref="A1:G27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79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80</v>
      </c>
    </row>
    <row r="8" spans="1:5" hidden="1" outlineLevel="1" x14ac:dyDescent="0.25">
      <c r="A8" s="7"/>
      <c r="B8" t="s">
        <v>81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7" t="s">
        <v>50</v>
      </c>
      <c r="C15" s="77" t="s">
        <v>51</v>
      </c>
      <c r="D15" s="77" t="s">
        <v>52</v>
      </c>
      <c r="E15" s="77" t="s">
        <v>53</v>
      </c>
    </row>
    <row r="16" spans="1:5" ht="15.75" thickBot="1" x14ac:dyDescent="0.3">
      <c r="B16" s="76" t="s">
        <v>29</v>
      </c>
      <c r="C16" s="76" t="s">
        <v>35</v>
      </c>
      <c r="D16" s="79">
        <v>566749.36179999996</v>
      </c>
      <c r="E16" s="79">
        <v>639999.95109999995</v>
      </c>
    </row>
    <row r="19" spans="1:7" ht="15.75" thickBot="1" x14ac:dyDescent="0.3">
      <c r="A19" t="s">
        <v>54</v>
      </c>
    </row>
    <row r="20" spans="1:7" ht="15.75" thickBot="1" x14ac:dyDescent="0.3">
      <c r="B20" s="77" t="s">
        <v>50</v>
      </c>
      <c r="C20" s="77" t="s">
        <v>51</v>
      </c>
      <c r="D20" s="77" t="s">
        <v>52</v>
      </c>
      <c r="E20" s="77" t="s">
        <v>53</v>
      </c>
      <c r="F20" s="77" t="s">
        <v>55</v>
      </c>
    </row>
    <row r="21" spans="1:7" x14ac:dyDescent="0.25">
      <c r="B21" s="78" t="s">
        <v>60</v>
      </c>
      <c r="C21" s="78" t="s">
        <v>15</v>
      </c>
      <c r="D21" s="80">
        <v>0.1</v>
      </c>
      <c r="E21" s="80">
        <v>0.226693026881682</v>
      </c>
      <c r="F21" s="78" t="s">
        <v>61</v>
      </c>
    </row>
    <row r="22" spans="1:7" ht="15.75" thickBot="1" x14ac:dyDescent="0.3">
      <c r="B22" s="76" t="s">
        <v>62</v>
      </c>
      <c r="C22" s="76" t="s">
        <v>16</v>
      </c>
      <c r="D22" s="81">
        <v>1.4999999999999999E-2</v>
      </c>
      <c r="E22" s="81">
        <v>2.1270607913771021E-2</v>
      </c>
      <c r="F22" s="76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7" t="s">
        <v>50</v>
      </c>
      <c r="C26" s="77" t="s">
        <v>51</v>
      </c>
      <c r="D26" s="77" t="s">
        <v>57</v>
      </c>
      <c r="E26" s="77" t="s">
        <v>58</v>
      </c>
      <c r="F26" s="77" t="s">
        <v>59</v>
      </c>
      <c r="G26" s="77" t="s">
        <v>8</v>
      </c>
    </row>
    <row r="27" spans="1:7" ht="15.75" thickBot="1" x14ac:dyDescent="0.3">
      <c r="B27" s="76" t="s">
        <v>29</v>
      </c>
      <c r="C27" s="76" t="s">
        <v>35</v>
      </c>
      <c r="D27" s="79">
        <v>639999.94999999995</v>
      </c>
      <c r="E27" s="76" t="s">
        <v>63</v>
      </c>
      <c r="F27" s="76" t="s">
        <v>64</v>
      </c>
      <c r="G27" s="7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1444-BB70-4F28-AF11-058499BCD113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82</v>
      </c>
    </row>
    <row r="2" spans="1:5" x14ac:dyDescent="0.25">
      <c r="A2" s="7" t="s">
        <v>38</v>
      </c>
    </row>
    <row r="3" spans="1:5" x14ac:dyDescent="0.25">
      <c r="A3" s="7" t="s">
        <v>83</v>
      </c>
    </row>
    <row r="6" spans="1:5" ht="15.75" thickBot="1" x14ac:dyDescent="0.3">
      <c r="A6" t="s">
        <v>54</v>
      </c>
    </row>
    <row r="7" spans="1:5" x14ac:dyDescent="0.25">
      <c r="B7" s="82"/>
      <c r="C7" s="82"/>
      <c r="D7" s="82" t="s">
        <v>84</v>
      </c>
      <c r="E7" s="82" t="s">
        <v>85</v>
      </c>
    </row>
    <row r="8" spans="1:5" ht="15.75" thickBot="1" x14ac:dyDescent="0.3">
      <c r="B8" s="83" t="s">
        <v>50</v>
      </c>
      <c r="C8" s="83" t="s">
        <v>51</v>
      </c>
      <c r="D8" s="83" t="s">
        <v>69</v>
      </c>
      <c r="E8" s="83" t="s">
        <v>86</v>
      </c>
    </row>
    <row r="9" spans="1:5" x14ac:dyDescent="0.25">
      <c r="B9" s="78" t="s">
        <v>60</v>
      </c>
      <c r="C9" s="78" t="s">
        <v>15</v>
      </c>
      <c r="D9" s="78">
        <v>0.226693026881682</v>
      </c>
      <c r="E9" s="78">
        <v>0</v>
      </c>
    </row>
    <row r="10" spans="1:5" ht="15.75" thickBot="1" x14ac:dyDescent="0.3">
      <c r="B10" s="76" t="s">
        <v>62</v>
      </c>
      <c r="C10" s="76" t="s">
        <v>16</v>
      </c>
      <c r="D10" s="76">
        <v>2.1270607913771021E-2</v>
      </c>
      <c r="E10" s="76">
        <v>0</v>
      </c>
    </row>
    <row r="12" spans="1:5" ht="15.75" thickBot="1" x14ac:dyDescent="0.3">
      <c r="A12" t="s">
        <v>56</v>
      </c>
    </row>
    <row r="13" spans="1:5" x14ac:dyDescent="0.25">
      <c r="B13" s="82"/>
      <c r="C13" s="82"/>
      <c r="D13" s="82" t="s">
        <v>84</v>
      </c>
      <c r="E13" s="82" t="s">
        <v>87</v>
      </c>
    </row>
    <row r="14" spans="1:5" ht="15.75" thickBot="1" x14ac:dyDescent="0.3">
      <c r="B14" s="83" t="s">
        <v>50</v>
      </c>
      <c r="C14" s="83" t="s">
        <v>51</v>
      </c>
      <c r="D14" s="83" t="s">
        <v>69</v>
      </c>
      <c r="E14" s="83" t="s">
        <v>88</v>
      </c>
    </row>
    <row r="15" spans="1:5" ht="15.75" thickBot="1" x14ac:dyDescent="0.3">
      <c r="B15" s="76" t="s">
        <v>29</v>
      </c>
      <c r="C15" s="76" t="s">
        <v>35</v>
      </c>
      <c r="D15" s="84">
        <v>639999.94999999995</v>
      </c>
      <c r="E15" s="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DDAD-8A98-4471-A0B2-E4308CD99CDA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4.7109375" bestFit="1" customWidth="1"/>
    <col min="3" max="3" width="8.2851562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83</v>
      </c>
    </row>
    <row r="5" spans="1:10" ht="15.75" thickBot="1" x14ac:dyDescent="0.3"/>
    <row r="6" spans="1:10" x14ac:dyDescent="0.25">
      <c r="B6" s="82"/>
      <c r="C6" s="82" t="s">
        <v>71</v>
      </c>
      <c r="D6" s="82"/>
    </row>
    <row r="7" spans="1:10" ht="15.75" thickBot="1" x14ac:dyDescent="0.3">
      <c r="B7" s="83" t="s">
        <v>50</v>
      </c>
      <c r="C7" s="83" t="s">
        <v>51</v>
      </c>
      <c r="D7" s="83" t="s">
        <v>69</v>
      </c>
    </row>
    <row r="8" spans="1:10" ht="15.75" thickBot="1" x14ac:dyDescent="0.3">
      <c r="B8" s="76" t="s">
        <v>29</v>
      </c>
      <c r="C8" s="76" t="s">
        <v>35</v>
      </c>
      <c r="D8" s="79">
        <v>639999.95109999995</v>
      </c>
    </row>
    <row r="10" spans="1:10" ht="15.75" thickBot="1" x14ac:dyDescent="0.3"/>
    <row r="11" spans="1:10" x14ac:dyDescent="0.25">
      <c r="B11" s="82"/>
      <c r="C11" s="82" t="s">
        <v>72</v>
      </c>
      <c r="D11" s="82"/>
      <c r="F11" s="82" t="s">
        <v>73</v>
      </c>
      <c r="G11" s="82" t="s">
        <v>71</v>
      </c>
      <c r="I11" s="82" t="s">
        <v>76</v>
      </c>
      <c r="J11" s="82" t="s">
        <v>71</v>
      </c>
    </row>
    <row r="12" spans="1:10" ht="15.75" thickBot="1" x14ac:dyDescent="0.3">
      <c r="B12" s="83" t="s">
        <v>50</v>
      </c>
      <c r="C12" s="83" t="s">
        <v>51</v>
      </c>
      <c r="D12" s="83" t="s">
        <v>69</v>
      </c>
      <c r="F12" s="83" t="s">
        <v>74</v>
      </c>
      <c r="G12" s="83" t="s">
        <v>75</v>
      </c>
      <c r="I12" s="83" t="s">
        <v>74</v>
      </c>
      <c r="J12" s="83" t="s">
        <v>75</v>
      </c>
    </row>
    <row r="13" spans="1:10" x14ac:dyDescent="0.25">
      <c r="B13" s="78" t="s">
        <v>60</v>
      </c>
      <c r="C13" s="78" t="s">
        <v>15</v>
      </c>
      <c r="D13" s="80">
        <v>0.226693026881682</v>
      </c>
      <c r="F13" s="80">
        <v>0</v>
      </c>
      <c r="G13" s="80">
        <v>521727.88</v>
      </c>
      <c r="I13" s="78" t="e">
        <v>#N/A</v>
      </c>
      <c r="J13" s="78" t="e">
        <v>#N/A</v>
      </c>
    </row>
    <row r="14" spans="1:10" ht="15.75" thickBot="1" x14ac:dyDescent="0.3">
      <c r="B14" s="76" t="s">
        <v>62</v>
      </c>
      <c r="C14" s="76" t="s">
        <v>16</v>
      </c>
      <c r="D14" s="81">
        <v>2.1270607913771021E-2</v>
      </c>
      <c r="F14" s="81">
        <v>0</v>
      </c>
      <c r="G14" s="81">
        <v>613346.51</v>
      </c>
      <c r="I14" s="76"/>
      <c r="J14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C4" sqref="C4"/>
    </sheetView>
  </sheetViews>
  <sheetFormatPr defaultRowHeight="15" x14ac:dyDescent="0.25"/>
  <cols>
    <col min="2" max="2" width="11.5703125" customWidth="1"/>
    <col min="3" max="3" width="48.5703125" bestFit="1" customWidth="1"/>
    <col min="5" max="5" width="15.5703125" customWidth="1"/>
    <col min="6" max="6" width="13.140625" customWidth="1"/>
    <col min="7" max="7" width="14.7109375" customWidth="1"/>
    <col min="8" max="8" width="16.28515625" customWidth="1"/>
  </cols>
  <sheetData>
    <row r="1" spans="2:8" ht="15.75" thickBot="1" x14ac:dyDescent="0.3"/>
    <row r="2" spans="2:8" x14ac:dyDescent="0.25">
      <c r="B2" s="63" t="s">
        <v>4</v>
      </c>
      <c r="C2" s="64"/>
      <c r="E2" s="38" t="s">
        <v>30</v>
      </c>
      <c r="F2" s="39" t="s">
        <v>0</v>
      </c>
      <c r="G2" s="39" t="s">
        <v>1</v>
      </c>
      <c r="H2" s="40" t="s">
        <v>2</v>
      </c>
    </row>
    <row r="3" spans="2:8" x14ac:dyDescent="0.25">
      <c r="B3" s="1" t="s">
        <v>0</v>
      </c>
      <c r="C3" s="43">
        <v>100000</v>
      </c>
      <c r="E3" s="41" t="s">
        <v>17</v>
      </c>
      <c r="F3" s="36">
        <v>100000</v>
      </c>
      <c r="G3" s="37">
        <v>0.1</v>
      </c>
      <c r="H3" s="42">
        <v>1.4999999999999999E-2</v>
      </c>
    </row>
    <row r="4" spans="2:8" x14ac:dyDescent="0.25">
      <c r="B4" s="1" t="s">
        <v>1</v>
      </c>
      <c r="C4" s="44">
        <v>0.1</v>
      </c>
      <c r="E4" s="41" t="s">
        <v>19</v>
      </c>
      <c r="F4" s="36">
        <v>80000</v>
      </c>
      <c r="G4" s="37">
        <v>0.15</v>
      </c>
      <c r="H4" s="42">
        <v>1.2E-2</v>
      </c>
    </row>
    <row r="5" spans="2:8" ht="15.75" thickBot="1" x14ac:dyDescent="0.3">
      <c r="B5" s="3" t="s">
        <v>2</v>
      </c>
      <c r="C5" s="45">
        <v>1.4999999999999999E-2</v>
      </c>
      <c r="E5" s="55" t="s">
        <v>21</v>
      </c>
      <c r="F5" s="56">
        <v>120000</v>
      </c>
      <c r="G5" s="57">
        <v>0.05</v>
      </c>
      <c r="H5" s="58">
        <v>8.0000000000000002E-3</v>
      </c>
    </row>
    <row r="6" spans="2:8" ht="17.25" customHeight="1" thickBot="1" x14ac:dyDescent="0.3">
      <c r="E6" s="59" t="s">
        <v>77</v>
      </c>
      <c r="F6" s="60" t="e">
        <f>NA()</f>
        <v>#N/A</v>
      </c>
      <c r="G6" s="61">
        <v>0.25</v>
      </c>
      <c r="H6" s="62">
        <v>0.04</v>
      </c>
    </row>
    <row r="7" spans="2:8" x14ac:dyDescent="0.25">
      <c r="B7" s="63" t="s">
        <v>5</v>
      </c>
      <c r="C7" s="64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110000.00000000001</v>
      </c>
    </row>
    <row r="10" spans="2:8" x14ac:dyDescent="0.25">
      <c r="B10" s="4">
        <v>1</v>
      </c>
      <c r="C10" s="2">
        <f>(base*(1+raise)^B10)*(1+bonus)</f>
        <v>111650</v>
      </c>
    </row>
    <row r="11" spans="2:8" x14ac:dyDescent="0.25">
      <c r="B11" s="4">
        <v>2</v>
      </c>
      <c r="C11" s="2">
        <f>(base*(1+raise)^B11)*(1+bonus)</f>
        <v>113324.74999999997</v>
      </c>
    </row>
    <row r="12" spans="2:8" x14ac:dyDescent="0.25">
      <c r="B12" s="4">
        <v>3</v>
      </c>
      <c r="C12" s="2">
        <f>(base*(1+raise)^B12)*(1+bonus)</f>
        <v>115024.62124999997</v>
      </c>
    </row>
    <row r="13" spans="2:8" ht="15.75" thickBot="1" x14ac:dyDescent="0.3">
      <c r="B13" s="35">
        <v>4</v>
      </c>
      <c r="C13" s="2">
        <f>(base*(1+raise)^B13)*(1+bonus)</f>
        <v>116749.99056874996</v>
      </c>
    </row>
    <row r="14" spans="2:8" ht="16.5" thickTop="1" thickBot="1" x14ac:dyDescent="0.3">
      <c r="B14" s="34" t="s">
        <v>3</v>
      </c>
      <c r="C14" s="2" t="e">
        <f>(base*(1+raise)^B14)*(1+bonus)</f>
        <v>#VALUE!</v>
      </c>
    </row>
  </sheetData>
  <scenarios current="2" sqref="C9:C14">
    <scenario name="Job 1" locked="1" count="3" user="samlathrop" comment="Created by samlathrop on 4/14/2026">
      <inputCells r="C3" val="100000" numFmtId="164"/>
      <inputCells r="C4" val="0.1" numFmtId="9"/>
      <inputCells r="C5" val="0.015" numFmtId="165"/>
    </scenario>
    <scenario name="Job 2" locked="1" count="3" user="samlathrop" comment="Created by samlathrop on 4/14/2026">
      <inputCells r="C3" val="80000" numFmtId="164"/>
      <inputCells r="C4" val="0.15" numFmtId="9"/>
      <inputCells r="C5" val="0.012" numFmtId="165"/>
    </scenario>
    <scenario name="Job 3" locked="1" count="3" user="samlathrop" comment="Created by samlathrop on 4/14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7" t="s">
        <v>50</v>
      </c>
      <c r="C15" s="47" t="s">
        <v>51</v>
      </c>
      <c r="D15" s="47" t="s">
        <v>52</v>
      </c>
      <c r="E15" s="47" t="s">
        <v>53</v>
      </c>
    </row>
    <row r="16" spans="1:5" ht="15.75" thickBot="1" x14ac:dyDescent="0.3">
      <c r="B16" s="46" t="s">
        <v>29</v>
      </c>
      <c r="C16" s="46" t="s">
        <v>35</v>
      </c>
      <c r="D16" s="49">
        <v>640000.63710000005</v>
      </c>
      <c r="E16" s="49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7" t="s">
        <v>50</v>
      </c>
      <c r="C20" s="47" t="s">
        <v>51</v>
      </c>
      <c r="D20" s="47" t="s">
        <v>52</v>
      </c>
      <c r="E20" s="47" t="s">
        <v>53</v>
      </c>
      <c r="F20" s="47" t="s">
        <v>55</v>
      </c>
    </row>
    <row r="21" spans="1:7" x14ac:dyDescent="0.25">
      <c r="B21" s="48" t="s">
        <v>60</v>
      </c>
      <c r="C21" s="48" t="s">
        <v>15</v>
      </c>
      <c r="D21" s="50">
        <v>0.20547045696368638</v>
      </c>
      <c r="E21" s="50">
        <v>0.20547045696368638</v>
      </c>
      <c r="F21" s="48" t="s">
        <v>61</v>
      </c>
    </row>
    <row r="22" spans="1:7" ht="15.75" thickBot="1" x14ac:dyDescent="0.3">
      <c r="B22" s="46" t="s">
        <v>62</v>
      </c>
      <c r="C22" s="46" t="s">
        <v>16</v>
      </c>
      <c r="D22" s="51">
        <v>0.03</v>
      </c>
      <c r="E22" s="51">
        <v>0.03</v>
      </c>
      <c r="F22" s="46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7" t="s">
        <v>50</v>
      </c>
      <c r="C26" s="47" t="s">
        <v>51</v>
      </c>
      <c r="D26" s="47" t="s">
        <v>57</v>
      </c>
      <c r="E26" s="47" t="s">
        <v>58</v>
      </c>
      <c r="F26" s="47" t="s">
        <v>59</v>
      </c>
      <c r="G26" s="47" t="s">
        <v>8</v>
      </c>
    </row>
    <row r="27" spans="1:7" x14ac:dyDescent="0.25">
      <c r="B27" s="48" t="s">
        <v>29</v>
      </c>
      <c r="C27" s="48" t="s">
        <v>35</v>
      </c>
      <c r="D27" s="52">
        <v>640000.64</v>
      </c>
      <c r="E27" s="48" t="s">
        <v>63</v>
      </c>
      <c r="F27" s="48" t="s">
        <v>64</v>
      </c>
      <c r="G27" s="48">
        <v>0</v>
      </c>
    </row>
    <row r="28" spans="1:7" x14ac:dyDescent="0.25">
      <c r="B28" s="48" t="s">
        <v>60</v>
      </c>
      <c r="C28" s="48" t="s">
        <v>15</v>
      </c>
      <c r="D28" s="50">
        <v>0.20547045696368638</v>
      </c>
      <c r="E28" s="48" t="s">
        <v>65</v>
      </c>
      <c r="F28" s="48" t="s">
        <v>66</v>
      </c>
      <c r="G28" s="48">
        <v>4.4529543036313624E-2</v>
      </c>
    </row>
    <row r="29" spans="1:7" ht="15.75" thickBot="1" x14ac:dyDescent="0.3">
      <c r="B29" s="46" t="s">
        <v>62</v>
      </c>
      <c r="C29" s="46" t="s">
        <v>16</v>
      </c>
      <c r="D29" s="51">
        <v>0.03</v>
      </c>
      <c r="E29" s="46" t="s">
        <v>67</v>
      </c>
      <c r="F29" s="46" t="s">
        <v>66</v>
      </c>
      <c r="G29" s="46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3"/>
      <c r="C6" s="53" t="s">
        <v>71</v>
      </c>
      <c r="D6" s="53"/>
    </row>
    <row r="7" spans="1:10" ht="15.75" thickBot="1" x14ac:dyDescent="0.3">
      <c r="B7" s="54" t="s">
        <v>50</v>
      </c>
      <c r="C7" s="54" t="s">
        <v>51</v>
      </c>
      <c r="D7" s="54" t="s">
        <v>69</v>
      </c>
    </row>
    <row r="8" spans="1:10" ht="15.75" thickBot="1" x14ac:dyDescent="0.3">
      <c r="B8" s="46" t="s">
        <v>29</v>
      </c>
      <c r="C8" s="46" t="s">
        <v>35</v>
      </c>
      <c r="D8" s="49">
        <v>640000.63710000005</v>
      </c>
    </row>
    <row r="10" spans="1:10" ht="15.75" thickBot="1" x14ac:dyDescent="0.3"/>
    <row r="11" spans="1:10" x14ac:dyDescent="0.25">
      <c r="B11" s="53"/>
      <c r="C11" s="53" t="s">
        <v>72</v>
      </c>
      <c r="D11" s="53"/>
      <c r="F11" s="53" t="s">
        <v>73</v>
      </c>
      <c r="G11" s="53" t="s">
        <v>71</v>
      </c>
      <c r="I11" s="53" t="s">
        <v>76</v>
      </c>
      <c r="J11" s="53" t="s">
        <v>71</v>
      </c>
    </row>
    <row r="12" spans="1:10" ht="15.75" thickBot="1" x14ac:dyDescent="0.3">
      <c r="B12" s="54" t="s">
        <v>50</v>
      </c>
      <c r="C12" s="54" t="s">
        <v>51</v>
      </c>
      <c r="D12" s="54" t="s">
        <v>69</v>
      </c>
      <c r="F12" s="54" t="s">
        <v>74</v>
      </c>
      <c r="G12" s="54" t="s">
        <v>75</v>
      </c>
      <c r="I12" s="54" t="s">
        <v>74</v>
      </c>
      <c r="J12" s="54" t="s">
        <v>75</v>
      </c>
    </row>
    <row r="13" spans="1:10" x14ac:dyDescent="0.25">
      <c r="B13" s="48" t="s">
        <v>60</v>
      </c>
      <c r="C13" s="48" t="s">
        <v>15</v>
      </c>
      <c r="D13" s="50">
        <v>0.20547045696368638</v>
      </c>
      <c r="F13" s="50">
        <v>0</v>
      </c>
      <c r="G13" s="50">
        <v>530913.57999999996</v>
      </c>
      <c r="I13" s="50">
        <v>0.25</v>
      </c>
      <c r="J13" s="50">
        <v>663641.98</v>
      </c>
    </row>
    <row r="14" spans="1:10" ht="15.75" thickBot="1" x14ac:dyDescent="0.3">
      <c r="B14" s="46" t="s">
        <v>62</v>
      </c>
      <c r="C14" s="46" t="s">
        <v>16</v>
      </c>
      <c r="D14" s="51">
        <v>0.03</v>
      </c>
      <c r="F14" s="51">
        <v>0</v>
      </c>
      <c r="G14" s="51">
        <v>602735.23</v>
      </c>
      <c r="I14" s="51">
        <v>0.04</v>
      </c>
      <c r="J14" s="51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Sheet2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Lathrop</cp:lastModifiedBy>
  <dcterms:created xsi:type="dcterms:W3CDTF">2024-08-08T18:34:47Z</dcterms:created>
  <dcterms:modified xsi:type="dcterms:W3CDTF">2026-04-15T01:07:33Z</dcterms:modified>
</cp:coreProperties>
</file>